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guyek17\OneDrive - FrieslandCampina\Desktop\Macro DNTT new\"/>
    </mc:Choice>
  </mc:AlternateContent>
  <xr:revisionPtr revIDLastSave="80" documentId="13_ncr:1_{033C1B4E-4449-44A1-B273-C29A0C11340A}" xr6:coauthVersionLast="36" xr6:coauthVersionMax="41" xr10:uidLastSave="{B684DE7E-BCBE-4787-8575-D82E8BBB9665}"/>
  <bookViews>
    <workbookView xWindow="-108" yWindow="-108" windowWidth="23256" windowHeight="12576" xr2:uid="{00000000-000D-0000-FFFF-FFFF00000000}"/>
  </bookViews>
  <sheets>
    <sheet name="Data" sheetId="7" r:id="rId1"/>
    <sheet name="Head" sheetId="2" r:id="rId2"/>
    <sheet name="Detail" sheetId="4" r:id="rId3"/>
    <sheet name="Assign" sheetId="5" r:id="rId4"/>
    <sheet name="Budget" sheetId="6" r:id="rId5"/>
  </sheets>
  <definedNames>
    <definedName name="_xlnm._FilterDatabase" localSheetId="0" hidden="1">Data!$A$9:$L$9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" i="7" l="1"/>
</calcChain>
</file>

<file path=xl/sharedStrings.xml><?xml version="1.0" encoding="utf-8"?>
<sst xmlns="http://schemas.openxmlformats.org/spreadsheetml/2006/main" count="334" uniqueCount="147">
  <si>
    <t>Code</t>
  </si>
  <si>
    <t>Description</t>
  </si>
  <si>
    <t>Region</t>
  </si>
  <si>
    <t>Dist</t>
  </si>
  <si>
    <t>Cust</t>
  </si>
  <si>
    <t>Budget</t>
  </si>
  <si>
    <t>Scheme</t>
  </si>
  <si>
    <t>Account</t>
  </si>
  <si>
    <t>C00364284</t>
  </si>
  <si>
    <t>C00392189</t>
  </si>
  <si>
    <t>Distributor Code</t>
  </si>
  <si>
    <t>Promotion Code</t>
  </si>
  <si>
    <t>Promotion Description</t>
  </si>
  <si>
    <t>Promotion Status</t>
  </si>
  <si>
    <t>Start Date</t>
  </si>
  <si>
    <t>End Date</t>
  </si>
  <si>
    <t>Claimable Ind</t>
  </si>
  <si>
    <t>Claim End Day</t>
  </si>
  <si>
    <t>Tplan Number</t>
  </si>
  <si>
    <t>Type</t>
  </si>
  <si>
    <t>Promotion Category</t>
  </si>
  <si>
    <t>SpaceBuy Type</t>
  </si>
  <si>
    <t>Reference Number</t>
  </si>
  <si>
    <t xml:space="preserve">Detail Type </t>
  </si>
  <si>
    <t xml:space="preserve">Total Buy UOM Code </t>
  </si>
  <si>
    <t>Claim Type</t>
  </si>
  <si>
    <t>Taxable Ind</t>
  </si>
  <si>
    <t>Auto Checked</t>
  </si>
  <si>
    <t>Spacebuy End Date</t>
  </si>
  <si>
    <t>Notes</t>
  </si>
  <si>
    <t>Tax</t>
  </si>
  <si>
    <t>HQ</t>
  </si>
  <si>
    <t>MC2SB_IFT_0719</t>
  </si>
  <si>
    <t>06/19 Trả tiền mua hàng DL IFT_N(NC)</t>
  </si>
  <si>
    <t>A</t>
  </si>
  <si>
    <t>2019/07/04</t>
  </si>
  <si>
    <t>1</t>
  </si>
  <si>
    <t>2019/10/17</t>
  </si>
  <si>
    <t>S</t>
  </si>
  <si>
    <t>IFT</t>
  </si>
  <si>
    <t>ALL PROJECT</t>
  </si>
  <si>
    <t>ZZC4</t>
  </si>
  <si>
    <t>Y</t>
  </si>
  <si>
    <t>2019/10/16</t>
  </si>
  <si>
    <t>Distributor Code(v20)</t>
  </si>
  <si>
    <t>Promotion Code (v20)</t>
  </si>
  <si>
    <t>Promotion Index(int)</t>
  </si>
  <si>
    <t>Mechanic Type
1 - Free Product
2 - Discount by Value
3 - Discount by Percentage
(c1)</t>
  </si>
  <si>
    <t>Total Buy Quantity
* can be blank for Space buy promotion
(n25,4)</t>
  </si>
  <si>
    <t>Factor Value
* Can be blank for if mechanic type is 1
* Cannot larger than 100 for if mechanic type is 3
(n25,4)</t>
  </si>
  <si>
    <t>Apply On
1 - Per UOM
2 - Per Product
* Can be blank only for space buy promotion
* Apply on must be 2 if Mechanic Type = 3
(c1)</t>
  </si>
  <si>
    <t>2</t>
  </si>
  <si>
    <t>Assignment Type</t>
  </si>
  <si>
    <t>Customer Hierarchy Level</t>
  </si>
  <si>
    <t>Assignment Code</t>
  </si>
  <si>
    <t>Parent Code</t>
  </si>
  <si>
    <t>GC7PD_Ov110_0819</t>
  </si>
  <si>
    <t>D</t>
  </si>
  <si>
    <t>Assignment Level</t>
  </si>
  <si>
    <t>GC7PD_YM_0819</t>
  </si>
  <si>
    <t>Startdate/ Enddate</t>
  </si>
  <si>
    <t>Claim end</t>
  </si>
  <si>
    <t>SB enddate</t>
  </si>
  <si>
    <t>No of code</t>
  </si>
  <si>
    <t>C</t>
  </si>
  <si>
    <t>MC3SB_FINO_0620_1</t>
  </si>
  <si>
    <t>06/20 DABA Claimback Fino 220 CT T12/19_M(PT)</t>
  </si>
  <si>
    <t>C00329038</t>
  </si>
  <si>
    <t>2020/07/08</t>
  </si>
  <si>
    <t>2020/11/16</t>
  </si>
  <si>
    <t>MC3SB_FINO_0620_2</t>
  </si>
  <si>
    <t>06/20 MUTH Claimback Fino 220 CT T12/19_M(PT)</t>
  </si>
  <si>
    <t>C00329091</t>
  </si>
  <si>
    <t>MC3SB_FINO_0620_3</t>
  </si>
  <si>
    <t>06/20 INTI Claimback Fino 220 CT T12/19_M(PT)</t>
  </si>
  <si>
    <t>C00329140</t>
  </si>
  <si>
    <t>MC3SB_FINO_0620_4</t>
  </si>
  <si>
    <t>06/20 ISUP Claimback Fino 220 CT T12/19_M(PT)</t>
  </si>
  <si>
    <t>C00329111</t>
  </si>
  <si>
    <t>MC3SB_FINO_0620_5</t>
  </si>
  <si>
    <t>06/20 HUYH Claimback Fino 220 CT T12/19_M(PT)</t>
  </si>
  <si>
    <t>C00329081</t>
  </si>
  <si>
    <t>MC3SB_FINO_0620_6</t>
  </si>
  <si>
    <t>06/20 AEON Claimback Fino 220 CT T12/19_M(PT)</t>
  </si>
  <si>
    <t>C00329026</t>
  </si>
  <si>
    <t>MC3SB_FRISTI_0620_1</t>
  </si>
  <si>
    <t>06/20 TMRT Claimback Fristi 80m CT T12/19_M(PT)</t>
  </si>
  <si>
    <t>C00488705</t>
  </si>
  <si>
    <t>MC3SB_OVAL_0620_1</t>
  </si>
  <si>
    <t>06/20 TMRT Claimback Oval Core 180 CT T12/19_M(PT)</t>
  </si>
  <si>
    <t>MC3SB_OVAL_0620_2</t>
  </si>
  <si>
    <t>06/20 TMRT Claimback Oval core 180 CT T12/19_M(PT)</t>
  </si>
  <si>
    <t>MC3SB_SCM_0620_1</t>
  </si>
  <si>
    <t>06/20 CIRK Claimback Hoàn Hảo 1L CT T08/19_M(PT)</t>
  </si>
  <si>
    <t>C00254499</t>
  </si>
  <si>
    <t>MC3SB_UHT_0620_10</t>
  </si>
  <si>
    <t>06/20 DABA Claimback Fresh 1L CT T12/19_M(PT)</t>
  </si>
  <si>
    <t>MC3SB_FINO_0620_7</t>
  </si>
  <si>
    <t>06/20 MITA Claimback Fino 220 CT T11/19_M(PT)</t>
  </si>
  <si>
    <t>C00443407</t>
  </si>
  <si>
    <t>MC3SB_UHT_0620_1</t>
  </si>
  <si>
    <t>06/20 MITA Claimback Fresh 1L CT T11/19_M(PT)</t>
  </si>
  <si>
    <t>MC3SB_UHT_0620_2</t>
  </si>
  <si>
    <t>06/20 TMRT Claimback Fresh 180 CT T12/19_M(PT)</t>
  </si>
  <si>
    <t>MC3SB_UHT_0620_3</t>
  </si>
  <si>
    <t>06/20 OTHER Claimback Fresh 1L CT T12/19_M(PT)</t>
  </si>
  <si>
    <t>C00329101</t>
  </si>
  <si>
    <t>MC3SB_UHT_0620_4</t>
  </si>
  <si>
    <t>06/20 MUTH Claimback Fresh 1L CT T12/19_M(PT)</t>
  </si>
  <si>
    <t>MC3SB_UHT_0620_5</t>
  </si>
  <si>
    <t>06/20 INTI Claimback Fresh 1L CT T12/19_M(PT)</t>
  </si>
  <si>
    <t>MC3SB_UHT_0620_6</t>
  </si>
  <si>
    <t>06/20 HUYH Claimback Fresh 1L CT T12/19_M(PT)</t>
  </si>
  <si>
    <t>C00329072</t>
  </si>
  <si>
    <t>MC3SB_UHT_0620_7</t>
  </si>
  <si>
    <t>06/20 AEON Claimback Fresh 1L CT T12/19_M(PT)</t>
  </si>
  <si>
    <t>MC3SB_FINO_0620_8</t>
  </si>
  <si>
    <t>06/20 TMRT Claimback Fino 220 CT T12/19_M(PT)</t>
  </si>
  <si>
    <t>MC3SB_YM_0620_1</t>
  </si>
  <si>
    <t>06/20 HUYH Claimback Yomost 170 CT T12/19_M(PT)</t>
  </si>
  <si>
    <t>MC3SB_YM_0620_2</t>
  </si>
  <si>
    <t>06/20 AEON Claimback Yomost 170 CT T12/19_M(PT)</t>
  </si>
  <si>
    <t>MC3SB_YM_0620_3</t>
  </si>
  <si>
    <t>MC3SB_YM_0620_4</t>
  </si>
  <si>
    <t>MC3SB_YM_0620_5</t>
  </si>
  <si>
    <t>06/20 DABA Claimback Yomost 170 CT T12/19_M(PT)</t>
  </si>
  <si>
    <t>MC3SB_YM_0620_6</t>
  </si>
  <si>
    <t>06/20 MUTH Claimback Yomost 170 CT T12/19_M(PT)</t>
  </si>
  <si>
    <t>MC3SB_YM_0620_7</t>
  </si>
  <si>
    <t>06/20 INTI Claimback Yomost 170 CT T12/19_M(PT)</t>
  </si>
  <si>
    <t>MC3SB_YM_0620_8</t>
  </si>
  <si>
    <t>06/20 ISUP Claimback Yomost 170 CT T12/19_M(PT)</t>
  </si>
  <si>
    <t>MC3SB_FRISTI_0620_2</t>
  </si>
  <si>
    <t>06/20 TMRT Claimback Fristi 80 CT T12/19_M(PT)</t>
  </si>
  <si>
    <t>MC3SB_UHT_0620_8</t>
  </si>
  <si>
    <t>06/20 ISUP Claimback Fresh 1L CT T12/19_M(PT)</t>
  </si>
  <si>
    <t>MC3SB_FINO_0620_9</t>
  </si>
  <si>
    <t>MC3SB_UHT_0620_9</t>
  </si>
  <si>
    <t>MC3SB_UHT_0620_11</t>
  </si>
  <si>
    <t>06/20 Family Claimback Fresh CT T02/20_M(HTXQ3)</t>
  </si>
  <si>
    <t>C00035642</t>
  </si>
  <si>
    <t>MC3SB_UHT_0620_12</t>
  </si>
  <si>
    <t>06/20 Family Claimback Fresh CT T03/20_M(HTXQ3)</t>
  </si>
  <si>
    <t>C00035650</t>
  </si>
  <si>
    <t>2020/11/17</t>
  </si>
  <si>
    <t>1.North</t>
  </si>
  <si>
    <t>06/20 BSMA CIRK Claimback YM 170 CT T12/19_M(PT)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</si>
</sst>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0" fontId="0" fillId="0" borderId="0" xfId="0" applyNumberFormat="1"/>
    <xf numFmtId="49" fontId="1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</xdr:row>
      <xdr:rowOff>38100</xdr:rowOff>
    </xdr:from>
    <xdr:to>
      <xdr:col>0</xdr:col>
      <xdr:colOff>1123950</xdr:colOff>
      <xdr:row>5</xdr:row>
      <xdr:rowOff>9525</xdr:rowOff>
    </xdr:to>
    <xdr:sp macro="[0]!Header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28600"/>
          <a:ext cx="752475" cy="73342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Head</a:t>
          </a:r>
        </a:p>
      </xdr:txBody>
    </xdr:sp>
    <xdr:clientData/>
  </xdr:twoCellAnchor>
  <xdr:twoCellAnchor>
    <xdr:from>
      <xdr:col>1</xdr:col>
      <xdr:colOff>2181225</xdr:colOff>
      <xdr:row>1</xdr:row>
      <xdr:rowOff>19050</xdr:rowOff>
    </xdr:from>
    <xdr:to>
      <xdr:col>3</xdr:col>
      <xdr:colOff>85725</xdr:colOff>
      <xdr:row>4</xdr:row>
      <xdr:rowOff>180975</xdr:rowOff>
    </xdr:to>
    <xdr:sp macro="[0]!Assign1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86175" y="209550"/>
          <a:ext cx="752475" cy="73342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Assign1</a:t>
          </a:r>
        </a:p>
      </xdr:txBody>
    </xdr:sp>
    <xdr:clientData/>
  </xdr:twoCellAnchor>
  <xdr:twoCellAnchor>
    <xdr:from>
      <xdr:col>1</xdr:col>
      <xdr:colOff>1057275</xdr:colOff>
      <xdr:row>1</xdr:row>
      <xdr:rowOff>28575</xdr:rowOff>
    </xdr:from>
    <xdr:to>
      <xdr:col>1</xdr:col>
      <xdr:colOff>1809750</xdr:colOff>
      <xdr:row>5</xdr:row>
      <xdr:rowOff>0</xdr:rowOff>
    </xdr:to>
    <xdr:sp macro="[0]!Budget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562225" y="219075"/>
          <a:ext cx="752475" cy="733425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Budget</a:t>
          </a:r>
        </a:p>
      </xdr:txBody>
    </xdr:sp>
    <xdr:clientData/>
  </xdr:twoCellAnchor>
  <xdr:twoCellAnchor>
    <xdr:from>
      <xdr:col>0</xdr:col>
      <xdr:colOff>1400175</xdr:colOff>
      <xdr:row>1</xdr:row>
      <xdr:rowOff>28575</xdr:rowOff>
    </xdr:from>
    <xdr:to>
      <xdr:col>1</xdr:col>
      <xdr:colOff>647700</xdr:colOff>
      <xdr:row>5</xdr:row>
      <xdr:rowOff>0</xdr:rowOff>
    </xdr:to>
    <xdr:sp macro="[0]!Detail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00175" y="219075"/>
          <a:ext cx="752475" cy="7334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Detail</a:t>
          </a:r>
        </a:p>
      </xdr:txBody>
    </xdr:sp>
    <xdr:clientData/>
  </xdr:twoCellAnchor>
  <xdr:twoCellAnchor>
    <xdr:from>
      <xdr:col>3</xdr:col>
      <xdr:colOff>95250</xdr:colOff>
      <xdr:row>1</xdr:row>
      <xdr:rowOff>28575</xdr:rowOff>
    </xdr:from>
    <xdr:to>
      <xdr:col>4</xdr:col>
      <xdr:colOff>381000</xdr:colOff>
      <xdr:row>5</xdr:row>
      <xdr:rowOff>0</xdr:rowOff>
    </xdr:to>
    <xdr:sp macro="[0]!Assign2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448175" y="219075"/>
          <a:ext cx="752475" cy="733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Assign2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L43"/>
  <sheetViews>
    <sheetView tabSelected="1" workbookViewId="0">
      <selection activeCell="M1" sqref="M1:M1048576"/>
    </sheetView>
  </sheetViews>
  <sheetFormatPr defaultColWidth="9.21875" defaultRowHeight="14.4" x14ac:dyDescent="0.3"/>
  <cols>
    <col min="1" max="1" width="22.5546875" style="1" bestFit="1" customWidth="1"/>
    <col min="2" max="2" width="49.6640625" style="1" bestFit="1" customWidth="1"/>
    <col min="3" max="3" width="8.21875" style="1" bestFit="1" customWidth="1"/>
    <col min="4" max="4" width="7" style="1" bestFit="1" customWidth="1"/>
    <col min="5" max="5" width="10.21875" style="1" bestFit="1" customWidth="1"/>
    <col min="6" max="6" width="12.77734375" style="1" customWidth="1"/>
    <col min="7" max="7" width="8" style="1" bestFit="1" customWidth="1"/>
    <col min="8" max="8" width="11.6640625" style="1" customWidth="1"/>
    <col min="9" max="9" width="18" style="1" bestFit="1" customWidth="1"/>
    <col min="10" max="10" width="10.77734375" style="1" bestFit="1" customWidth="1"/>
    <col min="11" max="11" width="11" style="1" bestFit="1" customWidth="1"/>
    <col min="12" max="16384" width="9.21875" style="1"/>
  </cols>
  <sheetData>
    <row r="3" spans="1:12" x14ac:dyDescent="0.3">
      <c r="I3" s="3" t="s">
        <v>63</v>
      </c>
      <c r="J3" s="2">
        <f>COUNT(F:F)</f>
        <v>34</v>
      </c>
    </row>
    <row r="9" spans="1:12" x14ac:dyDescent="0.3">
      <c r="A9" s="3" t="s">
        <v>0</v>
      </c>
      <c r="B9" s="3" t="s">
        <v>1</v>
      </c>
      <c r="C9" s="3" t="s">
        <v>2</v>
      </c>
      <c r="D9" s="3" t="s">
        <v>3</v>
      </c>
      <c r="E9" s="3" t="s">
        <v>4</v>
      </c>
      <c r="F9" s="3" t="s">
        <v>5</v>
      </c>
      <c r="G9" s="3" t="s">
        <v>6</v>
      </c>
      <c r="H9" s="3" t="s">
        <v>7</v>
      </c>
      <c r="I9" s="3" t="s">
        <v>60</v>
      </c>
      <c r="J9" s="3" t="s">
        <v>61</v>
      </c>
      <c r="K9" s="3" t="s">
        <v>62</v>
      </c>
      <c r="L9" s="3" t="s">
        <v>30</v>
      </c>
    </row>
    <row r="10" spans="1:12" x14ac:dyDescent="0.3">
      <c r="A10" s="1" t="s">
        <v>65</v>
      </c>
      <c r="B10" s="1" t="s">
        <v>66</v>
      </c>
      <c r="C10" s="1" t="s">
        <v>145</v>
      </c>
      <c r="D10" s="1">
        <v>337652</v>
      </c>
      <c r="E10" s="1" t="s">
        <v>67</v>
      </c>
      <c r="F10" s="1">
        <v>3680300</v>
      </c>
      <c r="G10" s="1">
        <v>15290</v>
      </c>
      <c r="H10" s="1">
        <v>21207072</v>
      </c>
      <c r="I10" s="1" t="s">
        <v>68</v>
      </c>
      <c r="J10" s="1" t="s">
        <v>144</v>
      </c>
      <c r="K10" s="1" t="s">
        <v>69</v>
      </c>
    </row>
    <row r="11" spans="1:12" x14ac:dyDescent="0.3">
      <c r="A11" s="1" t="s">
        <v>70</v>
      </c>
      <c r="B11" s="1" t="s">
        <v>71</v>
      </c>
      <c r="C11" s="1" t="s">
        <v>145</v>
      </c>
      <c r="D11" s="1">
        <v>337652</v>
      </c>
      <c r="E11" s="1" t="s">
        <v>72</v>
      </c>
      <c r="F11" s="1">
        <v>123500</v>
      </c>
      <c r="G11" s="1">
        <v>15290</v>
      </c>
      <c r="H11" s="1">
        <v>21207072</v>
      </c>
      <c r="I11" s="1" t="s">
        <v>68</v>
      </c>
      <c r="J11" s="1" t="s">
        <v>144</v>
      </c>
      <c r="K11" s="1" t="s">
        <v>69</v>
      </c>
    </row>
    <row r="12" spans="1:12" x14ac:dyDescent="0.3">
      <c r="A12" s="1" t="s">
        <v>73</v>
      </c>
      <c r="B12" s="1" t="s">
        <v>74</v>
      </c>
      <c r="C12" s="1" t="s">
        <v>145</v>
      </c>
      <c r="D12" s="1">
        <v>337652</v>
      </c>
      <c r="E12" s="1" t="s">
        <v>75</v>
      </c>
      <c r="F12" s="1">
        <v>913900</v>
      </c>
      <c r="G12" s="1">
        <v>15290</v>
      </c>
      <c r="H12" s="1">
        <v>21207072</v>
      </c>
      <c r="I12" s="1" t="s">
        <v>68</v>
      </c>
      <c r="J12" s="1" t="s">
        <v>144</v>
      </c>
      <c r="K12" s="1" t="s">
        <v>69</v>
      </c>
    </row>
    <row r="13" spans="1:12" x14ac:dyDescent="0.3">
      <c r="A13" s="1" t="s">
        <v>76</v>
      </c>
      <c r="B13" s="1" t="s">
        <v>77</v>
      </c>
      <c r="C13" s="1" t="s">
        <v>145</v>
      </c>
      <c r="D13" s="1">
        <v>337652</v>
      </c>
      <c r="E13" s="1" t="s">
        <v>78</v>
      </c>
      <c r="F13" s="1">
        <v>172900</v>
      </c>
      <c r="G13" s="1">
        <v>15290</v>
      </c>
      <c r="H13" s="1">
        <v>21207072</v>
      </c>
      <c r="I13" s="1" t="s">
        <v>68</v>
      </c>
      <c r="J13" s="1" t="s">
        <v>144</v>
      </c>
      <c r="K13" s="1" t="s">
        <v>69</v>
      </c>
    </row>
    <row r="14" spans="1:12" x14ac:dyDescent="0.3">
      <c r="A14" s="1" t="s">
        <v>79</v>
      </c>
      <c r="B14" s="1" t="s">
        <v>80</v>
      </c>
      <c r="C14" s="1" t="s">
        <v>145</v>
      </c>
      <c r="D14" s="1">
        <v>337652</v>
      </c>
      <c r="E14" s="1" t="s">
        <v>81</v>
      </c>
      <c r="F14" s="1">
        <v>815100</v>
      </c>
      <c r="G14" s="1">
        <v>15290</v>
      </c>
      <c r="H14" s="1">
        <v>21207072</v>
      </c>
      <c r="I14" s="1" t="s">
        <v>68</v>
      </c>
      <c r="J14" s="1" t="s">
        <v>144</v>
      </c>
      <c r="K14" s="1" t="s">
        <v>69</v>
      </c>
    </row>
    <row r="15" spans="1:12" x14ac:dyDescent="0.3">
      <c r="A15" s="1" t="s">
        <v>82</v>
      </c>
      <c r="B15" s="1" t="s">
        <v>83</v>
      </c>
      <c r="C15" s="1" t="s">
        <v>145</v>
      </c>
      <c r="D15" s="1">
        <v>337652</v>
      </c>
      <c r="E15" s="1" t="s">
        <v>84</v>
      </c>
      <c r="F15" s="1">
        <v>197600</v>
      </c>
      <c r="G15" s="1">
        <v>15290</v>
      </c>
      <c r="H15" s="1">
        <v>21207072</v>
      </c>
      <c r="I15" s="1" t="s">
        <v>68</v>
      </c>
      <c r="J15" s="1" t="s">
        <v>144</v>
      </c>
      <c r="K15" s="1" t="s">
        <v>69</v>
      </c>
    </row>
    <row r="16" spans="1:12" x14ac:dyDescent="0.3">
      <c r="A16" s="1" t="s">
        <v>85</v>
      </c>
      <c r="B16" s="1" t="s">
        <v>86</v>
      </c>
      <c r="C16" s="1" t="s">
        <v>145</v>
      </c>
      <c r="D16" s="1">
        <v>337652</v>
      </c>
      <c r="E16" s="1" t="s">
        <v>87</v>
      </c>
      <c r="F16" s="1">
        <v>2320850</v>
      </c>
      <c r="G16" s="1">
        <v>15290</v>
      </c>
      <c r="H16" s="1">
        <v>21207072</v>
      </c>
      <c r="I16" s="1" t="s">
        <v>68</v>
      </c>
      <c r="J16" s="1" t="s">
        <v>144</v>
      </c>
      <c r="K16" s="1" t="s">
        <v>69</v>
      </c>
    </row>
    <row r="17" spans="1:11" x14ac:dyDescent="0.3">
      <c r="A17" s="1" t="s">
        <v>88</v>
      </c>
      <c r="B17" s="1" t="s">
        <v>89</v>
      </c>
      <c r="C17" s="1" t="s">
        <v>145</v>
      </c>
      <c r="D17" s="1">
        <v>337652</v>
      </c>
      <c r="E17" s="1" t="s">
        <v>87</v>
      </c>
      <c r="F17" s="1">
        <v>491904</v>
      </c>
      <c r="G17" s="1">
        <v>15290</v>
      </c>
      <c r="H17" s="1">
        <v>21207072</v>
      </c>
      <c r="I17" s="1" t="s">
        <v>68</v>
      </c>
      <c r="J17" s="1" t="s">
        <v>144</v>
      </c>
      <c r="K17" s="1" t="s">
        <v>69</v>
      </c>
    </row>
    <row r="18" spans="1:11" x14ac:dyDescent="0.3">
      <c r="A18" s="1" t="s">
        <v>90</v>
      </c>
      <c r="B18" s="1" t="s">
        <v>91</v>
      </c>
      <c r="C18" s="1" t="s">
        <v>145</v>
      </c>
      <c r="D18" s="1">
        <v>337652</v>
      </c>
      <c r="E18" s="1" t="s">
        <v>87</v>
      </c>
      <c r="F18" s="1">
        <v>562176</v>
      </c>
      <c r="G18" s="1">
        <v>15290</v>
      </c>
      <c r="H18" s="1">
        <v>21207072</v>
      </c>
      <c r="I18" s="1" t="s">
        <v>68</v>
      </c>
      <c r="J18" s="1" t="s">
        <v>144</v>
      </c>
      <c r="K18" s="1" t="s">
        <v>69</v>
      </c>
    </row>
    <row r="19" spans="1:11" x14ac:dyDescent="0.3">
      <c r="A19" s="1" t="s">
        <v>92</v>
      </c>
      <c r="B19" s="1" t="s">
        <v>93</v>
      </c>
      <c r="C19" s="1" t="s">
        <v>145</v>
      </c>
      <c r="D19" s="1">
        <v>337652</v>
      </c>
      <c r="E19" s="1" t="s">
        <v>94</v>
      </c>
      <c r="F19" s="1">
        <v>32448000</v>
      </c>
      <c r="G19" s="1">
        <v>15290</v>
      </c>
      <c r="H19" s="1">
        <v>21207072</v>
      </c>
      <c r="I19" s="1" t="s">
        <v>68</v>
      </c>
      <c r="J19" s="1" t="s">
        <v>144</v>
      </c>
      <c r="K19" s="1" t="s">
        <v>69</v>
      </c>
    </row>
    <row r="20" spans="1:11" x14ac:dyDescent="0.3">
      <c r="A20" s="1" t="s">
        <v>95</v>
      </c>
      <c r="B20" s="1" t="s">
        <v>96</v>
      </c>
      <c r="C20" s="1" t="s">
        <v>145</v>
      </c>
      <c r="D20" s="1">
        <v>337652</v>
      </c>
      <c r="E20" s="1" t="s">
        <v>67</v>
      </c>
      <c r="F20" s="1">
        <v>1789560</v>
      </c>
      <c r="G20" s="1">
        <v>15290</v>
      </c>
      <c r="H20" s="1">
        <v>21207072</v>
      </c>
      <c r="I20" s="1" t="s">
        <v>68</v>
      </c>
      <c r="J20" s="1" t="s">
        <v>144</v>
      </c>
      <c r="K20" s="1" t="s">
        <v>69</v>
      </c>
    </row>
    <row r="21" spans="1:11" x14ac:dyDescent="0.3">
      <c r="A21" s="1" t="s">
        <v>97</v>
      </c>
      <c r="B21" s="1" t="s">
        <v>98</v>
      </c>
      <c r="C21" s="1" t="s">
        <v>145</v>
      </c>
      <c r="D21" s="1">
        <v>337652</v>
      </c>
      <c r="E21" s="1" t="s">
        <v>99</v>
      </c>
      <c r="F21" s="1">
        <v>2173600</v>
      </c>
      <c r="G21" s="1">
        <v>15290</v>
      </c>
      <c r="H21" s="1">
        <v>21207072</v>
      </c>
      <c r="I21" s="1" t="s">
        <v>68</v>
      </c>
      <c r="J21" s="1" t="s">
        <v>144</v>
      </c>
      <c r="K21" s="1" t="s">
        <v>69</v>
      </c>
    </row>
    <row r="22" spans="1:11" x14ac:dyDescent="0.3">
      <c r="A22" s="1" t="s">
        <v>100</v>
      </c>
      <c r="B22" s="1" t="s">
        <v>101</v>
      </c>
      <c r="C22" s="1" t="s">
        <v>145</v>
      </c>
      <c r="D22" s="1">
        <v>337652</v>
      </c>
      <c r="E22" s="1" t="s">
        <v>99</v>
      </c>
      <c r="F22" s="1">
        <v>6188896</v>
      </c>
      <c r="G22" s="1">
        <v>15290</v>
      </c>
      <c r="H22" s="1">
        <v>21207072</v>
      </c>
      <c r="I22" s="1" t="s">
        <v>68</v>
      </c>
      <c r="J22" s="1" t="s">
        <v>144</v>
      </c>
      <c r="K22" s="1" t="s">
        <v>69</v>
      </c>
    </row>
    <row r="23" spans="1:11" x14ac:dyDescent="0.3">
      <c r="A23" s="1" t="s">
        <v>102</v>
      </c>
      <c r="B23" s="1" t="s">
        <v>103</v>
      </c>
      <c r="C23" s="1" t="s">
        <v>145</v>
      </c>
      <c r="D23" s="1">
        <v>337652</v>
      </c>
      <c r="E23" s="1" t="s">
        <v>87</v>
      </c>
      <c r="F23" s="1">
        <v>1965600</v>
      </c>
      <c r="G23" s="1">
        <v>15290</v>
      </c>
      <c r="H23" s="1">
        <v>21207072</v>
      </c>
      <c r="I23" s="1" t="s">
        <v>68</v>
      </c>
      <c r="J23" s="1" t="s">
        <v>144</v>
      </c>
      <c r="K23" s="1" t="s">
        <v>69</v>
      </c>
    </row>
    <row r="24" spans="1:11" x14ac:dyDescent="0.3">
      <c r="A24" s="1" t="s">
        <v>104</v>
      </c>
      <c r="B24" s="1" t="s">
        <v>105</v>
      </c>
      <c r="C24" s="1" t="s">
        <v>145</v>
      </c>
      <c r="D24" s="1">
        <v>337652</v>
      </c>
      <c r="E24" s="1" t="s">
        <v>106</v>
      </c>
      <c r="F24" s="1">
        <v>1391880</v>
      </c>
      <c r="G24" s="1">
        <v>15290</v>
      </c>
      <c r="H24" s="1">
        <v>21207072</v>
      </c>
      <c r="I24" s="1" t="s">
        <v>68</v>
      </c>
      <c r="J24" s="1" t="s">
        <v>144</v>
      </c>
      <c r="K24" s="1" t="s">
        <v>69</v>
      </c>
    </row>
    <row r="25" spans="1:11" x14ac:dyDescent="0.3">
      <c r="A25" s="1" t="s">
        <v>107</v>
      </c>
      <c r="B25" s="1" t="s">
        <v>108</v>
      </c>
      <c r="C25" s="1" t="s">
        <v>145</v>
      </c>
      <c r="D25" s="1">
        <v>337652</v>
      </c>
      <c r="E25" s="1" t="s">
        <v>72</v>
      </c>
      <c r="F25" s="1">
        <v>497100</v>
      </c>
      <c r="G25" s="1">
        <v>15290</v>
      </c>
      <c r="H25" s="1">
        <v>21207072</v>
      </c>
      <c r="I25" s="1" t="s">
        <v>68</v>
      </c>
      <c r="J25" s="1" t="s">
        <v>144</v>
      </c>
      <c r="K25" s="1" t="s">
        <v>69</v>
      </c>
    </row>
    <row r="26" spans="1:11" x14ac:dyDescent="0.3">
      <c r="A26" s="1" t="s">
        <v>109</v>
      </c>
      <c r="B26" s="1" t="s">
        <v>110</v>
      </c>
      <c r="C26" s="1" t="s">
        <v>145</v>
      </c>
      <c r="D26" s="1">
        <v>337652</v>
      </c>
      <c r="E26" s="1" t="s">
        <v>75</v>
      </c>
      <c r="F26" s="1">
        <v>546810</v>
      </c>
      <c r="G26" s="1">
        <v>15290</v>
      </c>
      <c r="H26" s="1">
        <v>21207072</v>
      </c>
      <c r="I26" s="1" t="s">
        <v>68</v>
      </c>
      <c r="J26" s="1" t="s">
        <v>144</v>
      </c>
      <c r="K26" s="1" t="s">
        <v>69</v>
      </c>
    </row>
    <row r="27" spans="1:11" x14ac:dyDescent="0.3">
      <c r="A27" s="1" t="s">
        <v>111</v>
      </c>
      <c r="B27" s="1" t="s">
        <v>112</v>
      </c>
      <c r="C27" s="1" t="s">
        <v>145</v>
      </c>
      <c r="D27" s="1">
        <v>337652</v>
      </c>
      <c r="E27" s="1" t="s">
        <v>113</v>
      </c>
      <c r="F27" s="1">
        <v>1143330</v>
      </c>
      <c r="G27" s="1">
        <v>15290</v>
      </c>
      <c r="H27" s="1">
        <v>21207072</v>
      </c>
      <c r="I27" s="1" t="s">
        <v>68</v>
      </c>
      <c r="J27" s="1" t="s">
        <v>144</v>
      </c>
      <c r="K27" s="1" t="s">
        <v>69</v>
      </c>
    </row>
    <row r="28" spans="1:11" x14ac:dyDescent="0.3">
      <c r="A28" s="1" t="s">
        <v>114</v>
      </c>
      <c r="B28" s="1" t="s">
        <v>115</v>
      </c>
      <c r="C28" s="1" t="s">
        <v>145</v>
      </c>
      <c r="D28" s="1">
        <v>337652</v>
      </c>
      <c r="E28" s="1" t="s">
        <v>84</v>
      </c>
      <c r="F28" s="1">
        <v>447390</v>
      </c>
      <c r="G28" s="1">
        <v>15290</v>
      </c>
      <c r="H28" s="1">
        <v>21207072</v>
      </c>
      <c r="I28" s="1" t="s">
        <v>68</v>
      </c>
      <c r="J28" s="1" t="s">
        <v>144</v>
      </c>
      <c r="K28" s="1" t="s">
        <v>69</v>
      </c>
    </row>
    <row r="29" spans="1:11" x14ac:dyDescent="0.3">
      <c r="A29" s="1" t="s">
        <v>116</v>
      </c>
      <c r="B29" s="1" t="s">
        <v>117</v>
      </c>
      <c r="C29" s="1" t="s">
        <v>145</v>
      </c>
      <c r="D29" s="1">
        <v>337652</v>
      </c>
      <c r="E29" s="1" t="s">
        <v>87</v>
      </c>
      <c r="F29" s="1">
        <v>1136200</v>
      </c>
      <c r="G29" s="1">
        <v>15290</v>
      </c>
      <c r="H29" s="1">
        <v>21207072</v>
      </c>
      <c r="I29" s="1" t="s">
        <v>68</v>
      </c>
      <c r="J29" s="1" t="s">
        <v>144</v>
      </c>
      <c r="K29" s="1" t="s">
        <v>69</v>
      </c>
    </row>
    <row r="30" spans="1:11" x14ac:dyDescent="0.3">
      <c r="A30" s="1" t="s">
        <v>118</v>
      </c>
      <c r="B30" s="1" t="s">
        <v>119</v>
      </c>
      <c r="C30" s="1" t="s">
        <v>145</v>
      </c>
      <c r="D30" s="1">
        <v>337652</v>
      </c>
      <c r="E30" s="1" t="s">
        <v>113</v>
      </c>
      <c r="F30" s="1">
        <v>186000</v>
      </c>
      <c r="G30" s="1">
        <v>15290</v>
      </c>
      <c r="H30" s="1">
        <v>21207072</v>
      </c>
      <c r="I30" s="1" t="s">
        <v>68</v>
      </c>
      <c r="J30" s="1" t="s">
        <v>144</v>
      </c>
      <c r="K30" s="1" t="s">
        <v>69</v>
      </c>
    </row>
    <row r="31" spans="1:11" x14ac:dyDescent="0.3">
      <c r="A31" s="1" t="s">
        <v>120</v>
      </c>
      <c r="B31" s="1" t="s">
        <v>121</v>
      </c>
      <c r="C31" s="1" t="s">
        <v>145</v>
      </c>
      <c r="D31" s="1">
        <v>337652</v>
      </c>
      <c r="E31" s="1" t="s">
        <v>84</v>
      </c>
      <c r="F31" s="1">
        <v>248000</v>
      </c>
      <c r="G31" s="1">
        <v>15290</v>
      </c>
      <c r="H31" s="1">
        <v>21207072</v>
      </c>
      <c r="I31" s="1" t="s">
        <v>68</v>
      </c>
      <c r="J31" s="1" t="s">
        <v>144</v>
      </c>
      <c r="K31" s="1" t="s">
        <v>69</v>
      </c>
    </row>
    <row r="32" spans="1:11" x14ac:dyDescent="0.3">
      <c r="A32" s="1" t="s">
        <v>122</v>
      </c>
      <c r="B32" s="1" t="s">
        <v>146</v>
      </c>
      <c r="C32" s="1" t="s">
        <v>145</v>
      </c>
      <c r="D32" s="1">
        <v>337652</v>
      </c>
      <c r="E32" s="1" t="s">
        <v>94</v>
      </c>
      <c r="F32" s="1">
        <v>1720500</v>
      </c>
      <c r="G32" s="1">
        <v>15290</v>
      </c>
      <c r="H32" s="1">
        <v>21207072</v>
      </c>
      <c r="I32" s="1" t="s">
        <v>68</v>
      </c>
      <c r="J32" s="1" t="s">
        <v>144</v>
      </c>
      <c r="K32" s="1" t="s">
        <v>69</v>
      </c>
    </row>
    <row r="33" spans="1:11" x14ac:dyDescent="0.3">
      <c r="A33" s="1" t="s">
        <v>123</v>
      </c>
      <c r="B33" s="1" t="s">
        <v>146</v>
      </c>
      <c r="C33" s="1" t="s">
        <v>145</v>
      </c>
      <c r="D33" s="1">
        <v>337652</v>
      </c>
      <c r="E33" s="1" t="s">
        <v>94</v>
      </c>
      <c r="F33" s="1">
        <v>1860000</v>
      </c>
      <c r="G33" s="1">
        <v>15290</v>
      </c>
      <c r="H33" s="1">
        <v>21207072</v>
      </c>
      <c r="I33" s="1" t="s">
        <v>68</v>
      </c>
      <c r="J33" s="1" t="s">
        <v>144</v>
      </c>
      <c r="K33" s="1" t="s">
        <v>69</v>
      </c>
    </row>
    <row r="34" spans="1:11" x14ac:dyDescent="0.3">
      <c r="A34" s="1" t="s">
        <v>124</v>
      </c>
      <c r="B34" s="1" t="s">
        <v>125</v>
      </c>
      <c r="C34" s="1" t="s">
        <v>145</v>
      </c>
      <c r="D34" s="1">
        <v>337652</v>
      </c>
      <c r="E34" s="1" t="s">
        <v>67</v>
      </c>
      <c r="F34" s="1">
        <v>1023000</v>
      </c>
      <c r="G34" s="1">
        <v>15290</v>
      </c>
      <c r="H34" s="1">
        <v>21207072</v>
      </c>
      <c r="I34" s="1" t="s">
        <v>68</v>
      </c>
      <c r="J34" s="1" t="s">
        <v>144</v>
      </c>
      <c r="K34" s="1" t="s">
        <v>69</v>
      </c>
    </row>
    <row r="35" spans="1:11" x14ac:dyDescent="0.3">
      <c r="A35" s="1" t="s">
        <v>126</v>
      </c>
      <c r="B35" s="1" t="s">
        <v>127</v>
      </c>
      <c r="C35" s="1" t="s">
        <v>145</v>
      </c>
      <c r="D35" s="1">
        <v>337652</v>
      </c>
      <c r="E35" s="1" t="s">
        <v>72</v>
      </c>
      <c r="F35" s="1">
        <v>31000</v>
      </c>
      <c r="G35" s="1">
        <v>15290</v>
      </c>
      <c r="H35" s="1">
        <v>21207072</v>
      </c>
      <c r="I35" s="1" t="s">
        <v>68</v>
      </c>
      <c r="J35" s="1" t="s">
        <v>144</v>
      </c>
      <c r="K35" s="1" t="s">
        <v>69</v>
      </c>
    </row>
    <row r="36" spans="1:11" x14ac:dyDescent="0.3">
      <c r="A36" s="1" t="s">
        <v>128</v>
      </c>
      <c r="B36" s="1" t="s">
        <v>129</v>
      </c>
      <c r="C36" s="1" t="s">
        <v>145</v>
      </c>
      <c r="D36" s="1">
        <v>337652</v>
      </c>
      <c r="E36" s="1" t="s">
        <v>75</v>
      </c>
      <c r="F36" s="1">
        <v>651000</v>
      </c>
      <c r="G36" s="1">
        <v>15290</v>
      </c>
      <c r="H36" s="1">
        <v>21207072</v>
      </c>
      <c r="I36" s="1" t="s">
        <v>68</v>
      </c>
      <c r="J36" s="1" t="s">
        <v>144</v>
      </c>
      <c r="K36" s="1" t="s">
        <v>69</v>
      </c>
    </row>
    <row r="37" spans="1:11" x14ac:dyDescent="0.3">
      <c r="A37" s="1" t="s">
        <v>130</v>
      </c>
      <c r="B37" s="1" t="s">
        <v>131</v>
      </c>
      <c r="C37" s="1" t="s">
        <v>145</v>
      </c>
      <c r="D37" s="1">
        <v>337652</v>
      </c>
      <c r="E37" s="1" t="s">
        <v>81</v>
      </c>
      <c r="F37" s="1">
        <v>124000</v>
      </c>
      <c r="G37" s="1">
        <v>15290</v>
      </c>
      <c r="H37" s="1">
        <v>21207072</v>
      </c>
      <c r="I37" s="1" t="s">
        <v>68</v>
      </c>
      <c r="J37" s="1" t="s">
        <v>144</v>
      </c>
      <c r="K37" s="1" t="s">
        <v>69</v>
      </c>
    </row>
    <row r="38" spans="1:11" x14ac:dyDescent="0.3">
      <c r="A38" s="1" t="s">
        <v>132</v>
      </c>
      <c r="B38" s="1" t="s">
        <v>133</v>
      </c>
      <c r="C38" s="1" t="s">
        <v>145</v>
      </c>
      <c r="D38" s="1">
        <v>337652</v>
      </c>
      <c r="E38" s="1" t="s">
        <v>87</v>
      </c>
      <c r="F38" s="1">
        <v>22536675</v>
      </c>
      <c r="G38" s="1">
        <v>15290</v>
      </c>
      <c r="H38" s="1">
        <v>21207072</v>
      </c>
      <c r="I38" s="1" t="s">
        <v>68</v>
      </c>
      <c r="J38" s="1" t="s">
        <v>144</v>
      </c>
      <c r="K38" s="1" t="s">
        <v>69</v>
      </c>
    </row>
    <row r="39" spans="1:11" x14ac:dyDescent="0.3">
      <c r="A39" s="1" t="s">
        <v>134</v>
      </c>
      <c r="B39" s="1" t="s">
        <v>135</v>
      </c>
      <c r="C39" s="1" t="s">
        <v>145</v>
      </c>
      <c r="D39" s="1">
        <v>337652</v>
      </c>
      <c r="E39" s="1" t="s">
        <v>81</v>
      </c>
      <c r="F39" s="1">
        <v>99420</v>
      </c>
      <c r="G39" s="1">
        <v>15290</v>
      </c>
      <c r="H39" s="1">
        <v>21207072</v>
      </c>
      <c r="I39" s="1" t="s">
        <v>68</v>
      </c>
      <c r="J39" s="1" t="s">
        <v>144</v>
      </c>
      <c r="K39" s="1" t="s">
        <v>69</v>
      </c>
    </row>
    <row r="40" spans="1:11" x14ac:dyDescent="0.3">
      <c r="A40" s="1" t="s">
        <v>136</v>
      </c>
      <c r="B40" s="1" t="s">
        <v>117</v>
      </c>
      <c r="C40" s="1" t="s">
        <v>145</v>
      </c>
      <c r="D40" s="1">
        <v>337652</v>
      </c>
      <c r="E40" s="1" t="s">
        <v>87</v>
      </c>
      <c r="F40" s="1">
        <v>16746600</v>
      </c>
      <c r="G40" s="1">
        <v>15290</v>
      </c>
      <c r="H40" s="1">
        <v>21207072</v>
      </c>
      <c r="I40" s="1" t="s">
        <v>68</v>
      </c>
      <c r="J40" s="1" t="s">
        <v>144</v>
      </c>
      <c r="K40" s="1" t="s">
        <v>69</v>
      </c>
    </row>
    <row r="41" spans="1:11" x14ac:dyDescent="0.3">
      <c r="A41" s="1" t="s">
        <v>137</v>
      </c>
      <c r="B41" s="1" t="s">
        <v>103</v>
      </c>
      <c r="C41" s="1" t="s">
        <v>145</v>
      </c>
      <c r="D41" s="1">
        <v>337652</v>
      </c>
      <c r="E41" s="1" t="s">
        <v>87</v>
      </c>
      <c r="F41" s="1">
        <v>2106000</v>
      </c>
      <c r="G41" s="1">
        <v>15290</v>
      </c>
      <c r="H41" s="1">
        <v>21207072</v>
      </c>
      <c r="I41" s="1" t="s">
        <v>68</v>
      </c>
      <c r="J41" s="1" t="s">
        <v>144</v>
      </c>
      <c r="K41" s="1" t="s">
        <v>69</v>
      </c>
    </row>
    <row r="42" spans="1:11" x14ac:dyDescent="0.3">
      <c r="A42" s="1" t="s">
        <v>138</v>
      </c>
      <c r="B42" s="1" t="s">
        <v>139</v>
      </c>
      <c r="C42" s="1" t="s">
        <v>145</v>
      </c>
      <c r="D42" s="1">
        <v>337656</v>
      </c>
      <c r="E42" s="1" t="s">
        <v>140</v>
      </c>
      <c r="F42" s="1">
        <v>35600000</v>
      </c>
      <c r="G42" s="1">
        <v>14232</v>
      </c>
      <c r="H42" s="1">
        <v>21207072</v>
      </c>
      <c r="I42" s="1" t="s">
        <v>68</v>
      </c>
      <c r="J42" s="1" t="s">
        <v>144</v>
      </c>
      <c r="K42" s="1" t="s">
        <v>69</v>
      </c>
    </row>
    <row r="43" spans="1:11" x14ac:dyDescent="0.3">
      <c r="A43" s="1" t="s">
        <v>141</v>
      </c>
      <c r="B43" s="1" t="s">
        <v>142</v>
      </c>
      <c r="C43" s="1" t="s">
        <v>145</v>
      </c>
      <c r="D43" s="1">
        <v>337656</v>
      </c>
      <c r="E43" s="1" t="s">
        <v>143</v>
      </c>
      <c r="F43" s="1">
        <v>80720000</v>
      </c>
      <c r="G43" s="1">
        <v>14232</v>
      </c>
      <c r="H43" s="1">
        <v>21207072</v>
      </c>
      <c r="I43" s="1" t="s">
        <v>68</v>
      </c>
      <c r="J43" s="1" t="s">
        <v>144</v>
      </c>
      <c r="K43" s="1" t="s">
        <v>69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V4"/>
  <sheetViews>
    <sheetView workbookViewId="0">
      <selection activeCell="A3" sqref="A3:V4"/>
    </sheetView>
  </sheetViews>
  <sheetFormatPr defaultRowHeight="14.4" x14ac:dyDescent="0.3"/>
  <sheetData>
    <row r="3" spans="1:22" x14ac:dyDescent="0.3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15</v>
      </c>
      <c r="G3" t="s">
        <v>16</v>
      </c>
      <c r="H3" t="s">
        <v>17</v>
      </c>
      <c r="I3" t="s">
        <v>18</v>
      </c>
      <c r="J3" t="s">
        <v>19</v>
      </c>
      <c r="K3" t="s">
        <v>20</v>
      </c>
      <c r="L3" t="s">
        <v>21</v>
      </c>
      <c r="M3" t="s">
        <v>5</v>
      </c>
      <c r="N3" t="s">
        <v>22</v>
      </c>
      <c r="O3" t="s">
        <v>23</v>
      </c>
      <c r="P3" t="s">
        <v>24</v>
      </c>
      <c r="Q3" t="s">
        <v>25</v>
      </c>
      <c r="R3" t="s">
        <v>26</v>
      </c>
      <c r="S3" t="s">
        <v>27</v>
      </c>
      <c r="T3" t="s">
        <v>28</v>
      </c>
      <c r="U3" t="s">
        <v>29</v>
      </c>
      <c r="V3" t="s">
        <v>30</v>
      </c>
    </row>
    <row r="4" spans="1:22" x14ac:dyDescent="0.3">
      <c r="A4" t="s">
        <v>31</v>
      </c>
      <c r="B4" t="s">
        <v>32</v>
      </c>
      <c r="C4" t="s">
        <v>33</v>
      </c>
      <c r="D4" t="s">
        <v>34</v>
      </c>
      <c r="E4" t="s">
        <v>35</v>
      </c>
      <c r="F4" t="s">
        <v>35</v>
      </c>
      <c r="G4" t="s">
        <v>36</v>
      </c>
      <c r="H4" t="s">
        <v>37</v>
      </c>
      <c r="J4" t="s">
        <v>38</v>
      </c>
      <c r="K4" t="s">
        <v>39</v>
      </c>
      <c r="L4" t="s">
        <v>40</v>
      </c>
      <c r="M4">
        <v>38742</v>
      </c>
      <c r="N4">
        <v>13398</v>
      </c>
      <c r="Q4" t="s">
        <v>41</v>
      </c>
      <c r="R4" t="s">
        <v>42</v>
      </c>
      <c r="S4">
        <v>1</v>
      </c>
      <c r="T4" t="s">
        <v>43</v>
      </c>
      <c r="U4">
        <v>21207172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G4"/>
  <sheetViews>
    <sheetView workbookViewId="0">
      <selection activeCell="A3" sqref="A3:G4"/>
    </sheetView>
  </sheetViews>
  <sheetFormatPr defaultRowHeight="14.4" x14ac:dyDescent="0.3"/>
  <sheetData>
    <row r="3" spans="1:7" x14ac:dyDescent="0.3">
      <c r="A3" t="s">
        <v>44</v>
      </c>
      <c r="B3" t="s">
        <v>45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</row>
    <row r="4" spans="1:7" x14ac:dyDescent="0.3">
      <c r="A4" t="s">
        <v>31</v>
      </c>
      <c r="B4" t="s">
        <v>32</v>
      </c>
      <c r="C4" t="s">
        <v>36</v>
      </c>
      <c r="D4" t="s">
        <v>51</v>
      </c>
      <c r="F4">
        <v>38742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F13"/>
  <sheetViews>
    <sheetView workbookViewId="0">
      <selection activeCell="A11" sqref="A11:F13"/>
    </sheetView>
  </sheetViews>
  <sheetFormatPr defaultRowHeight="14.4" x14ac:dyDescent="0.3"/>
  <cols>
    <col min="2" max="2" width="18.77734375" customWidth="1"/>
  </cols>
  <sheetData>
    <row r="4" spans="1:6" x14ac:dyDescent="0.3">
      <c r="A4" t="s">
        <v>10</v>
      </c>
      <c r="B4" t="s">
        <v>11</v>
      </c>
      <c r="C4" t="s">
        <v>52</v>
      </c>
      <c r="D4" t="s">
        <v>53</v>
      </c>
      <c r="E4" t="s">
        <v>54</v>
      </c>
      <c r="F4" t="s">
        <v>55</v>
      </c>
    </row>
    <row r="5" spans="1:6" x14ac:dyDescent="0.3">
      <c r="A5" t="s">
        <v>31</v>
      </c>
      <c r="B5" t="s">
        <v>56</v>
      </c>
      <c r="C5" t="s">
        <v>57</v>
      </c>
      <c r="E5">
        <v>337345</v>
      </c>
    </row>
    <row r="6" spans="1:6" x14ac:dyDescent="0.3">
      <c r="A6" t="s">
        <v>31</v>
      </c>
      <c r="B6" t="s">
        <v>56</v>
      </c>
      <c r="C6" t="s">
        <v>57</v>
      </c>
      <c r="E6">
        <v>337358</v>
      </c>
    </row>
    <row r="11" spans="1:6" x14ac:dyDescent="0.3">
      <c r="A11" t="s">
        <v>10</v>
      </c>
      <c r="B11" t="s">
        <v>11</v>
      </c>
      <c r="C11" t="s">
        <v>52</v>
      </c>
      <c r="D11" t="s">
        <v>53</v>
      </c>
      <c r="E11" t="s">
        <v>54</v>
      </c>
      <c r="F11" t="s">
        <v>55</v>
      </c>
    </row>
    <row r="12" spans="1:6" x14ac:dyDescent="0.3">
      <c r="A12" t="s">
        <v>31</v>
      </c>
      <c r="B12" t="s">
        <v>56</v>
      </c>
      <c r="C12" t="s">
        <v>64</v>
      </c>
      <c r="D12">
        <v>6</v>
      </c>
      <c r="E12" t="s">
        <v>8</v>
      </c>
      <c r="F12">
        <v>337360</v>
      </c>
    </row>
    <row r="13" spans="1:6" x14ac:dyDescent="0.3">
      <c r="A13" t="s">
        <v>31</v>
      </c>
      <c r="B13" t="s">
        <v>56</v>
      </c>
      <c r="C13" t="s">
        <v>64</v>
      </c>
      <c r="D13">
        <v>6</v>
      </c>
      <c r="E13" t="s">
        <v>9</v>
      </c>
      <c r="F13">
        <v>337368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6"/>
  <sheetViews>
    <sheetView workbookViewId="0">
      <selection activeCell="A4" sqref="A4:F6"/>
    </sheetView>
  </sheetViews>
  <sheetFormatPr defaultRowHeight="14.4" x14ac:dyDescent="0.3"/>
  <cols>
    <col min="2" max="2" width="25.77734375" customWidth="1"/>
  </cols>
  <sheetData>
    <row r="4" spans="1:6" x14ac:dyDescent="0.3">
      <c r="A4" t="s">
        <v>10</v>
      </c>
      <c r="B4" t="s">
        <v>11</v>
      </c>
      <c r="C4" t="s">
        <v>58</v>
      </c>
      <c r="D4" t="s">
        <v>54</v>
      </c>
      <c r="E4" t="s">
        <v>55</v>
      </c>
      <c r="F4" t="s">
        <v>5</v>
      </c>
    </row>
    <row r="5" spans="1:6" x14ac:dyDescent="0.3">
      <c r="A5" t="s">
        <v>31</v>
      </c>
      <c r="B5" t="s">
        <v>59</v>
      </c>
      <c r="C5">
        <v>3</v>
      </c>
      <c r="D5">
        <v>337345</v>
      </c>
      <c r="F5">
        <v>153284</v>
      </c>
    </row>
    <row r="6" spans="1:6" x14ac:dyDescent="0.3">
      <c r="A6" t="s">
        <v>31</v>
      </c>
      <c r="B6" t="s">
        <v>59</v>
      </c>
      <c r="C6">
        <v>3</v>
      </c>
      <c r="D6">
        <v>337358</v>
      </c>
      <c r="F6">
        <v>153284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Head</vt:lpstr>
      <vt:lpstr>Detail</vt:lpstr>
      <vt:lpstr>Assign</vt:lpstr>
      <vt:lpstr>Budget</vt:lpstr>
    </vt:vector>
  </TitlesOfParts>
  <Company>FrieslandCampina VietNam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Dms Vietnam Support</dc:creator>
  <cp:lastModifiedBy>Khanh.nnp</cp:lastModifiedBy>
  <dcterms:created xsi:type="dcterms:W3CDTF">2019-10-21T07:52:34Z</dcterms:created>
  <dcterms:modified xsi:type="dcterms:W3CDTF">2020-07-08T04:54:50Z</dcterms:modified>
</cp:coreProperties>
</file>